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85996bb5cf4f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6a4acb442d4c49da"/>
    <x:sheet xmlns:r="http://schemas.openxmlformats.org/officeDocument/2006/relationships" name="逐棵明細" sheetId="2" r:id="R1acb57ca81b84fdd"/>
    <x:sheet xmlns:r="http://schemas.openxmlformats.org/officeDocument/2006/relationships" name="盤點紀錄" sheetId="3" r:id="R6c22a5bf1e6c40ff"/>
    <x:sheet xmlns:r="http://schemas.openxmlformats.org/officeDocument/2006/relationships" name="GRI 對照" sheetId="4" r:id="Rcd811a0a668047e0"/>
    <x:sheet xmlns:r="http://schemas.openxmlformats.org/officeDocument/2006/relationships" name="報告書段落" sheetId="5" r:id="R232f82b7a94f463a"/>
    <x:sheet xmlns:r="http://schemas.openxmlformats.org/officeDocument/2006/relationships" name="方法與限制" sheetId="6" r:id="R181ded85464740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NT$#,##0"/>
    <x:numFmt numFmtId="202" formatCode="0.000000"/>
    <x:numFmt numFmtId="203" formatCode="0.0"/>
  </x:numFmts>
  <x:fonts count="4">
    <x:font>
      <x:sz val="11"/>
      <x:name val="Carlito"/>
    </x:font>
    <x:font>
      <x:sz val="10"/>
      <x:color rgb="FF173029"/>
      <x:name val="Arial"/>
    </x:font>
    <x:font>
      <x:b/>
      <x:sz val="10"/>
      <x:color rgb="FFFFFFFF"/>
      <x:name val="Arial"/>
    </x:font>
    <x:font>
      <x:b/>
      <x:sz val="10"/>
      <x:color rgb="FF17302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4936"/>
      </x:patternFill>
    </x:fill>
    <x:fill>
      <x:patternFill patternType="solid">
        <x:fgColor rgb="FFF5E7C8"/>
      </x:patternFill>
    </x:fill>
    <x:fill>
      <x:patternFill patternType="solid">
        <x:fgColor rgb="FFFFF3C4"/>
      </x:patternFill>
    </x:fill>
  </x:fills>
  <x:borders count="4">
    <x:border/>
    <x:border>
      <x:left style="thin">
        <x:color rgb="FF174936"/>
      </x:left>
      <x:top style="thin">
        <x:color rgb="FF174936"/>
      </x:top>
      <x:bottom style="thin">
        <x:color rgb="FF174936"/>
      </x:bottom>
    </x:border>
    <x:border>
      <x:top style="thin">
        <x:color rgb="FF174936"/>
      </x:top>
      <x:bottom style="thin">
        <x:color rgb="FF174936"/>
      </x:bottom>
    </x:border>
    <x:border>
      <x:right style="thin">
        <x:color rgb="FF174936"/>
      </x:right>
      <x:top style="thin">
        <x:color rgb="FF174936"/>
      </x:top>
      <x:bottom style="thin">
        <x:color rgb="FF174936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11099cacd1410c" /><Relationship Type="http://schemas.openxmlformats.org/officeDocument/2006/relationships/theme" Target="/xl/theme/theme1.xml" Id="R5749ecfeaddf42db" /><Relationship Type="http://schemas.openxmlformats.org/officeDocument/2006/relationships/sharedStrings" Target="/xl/sharedStrings.xml" Id="R0e00e0c2e8834363" /><Relationship Type="http://schemas.openxmlformats.org/officeDocument/2006/relationships/worksheet" Target="/xl/worksheets/sheet1.xml" Id="R6a4acb442d4c49da" /><Relationship Type="http://schemas.openxmlformats.org/officeDocument/2006/relationships/worksheet" Target="/xl/worksheets/sheet2.xml" Id="R1acb57ca81b84fdd" /><Relationship Type="http://schemas.openxmlformats.org/officeDocument/2006/relationships/worksheet" Target="/xl/worksheets/sheet3.xml" Id="R6c22a5bf1e6c40ff" /><Relationship Type="http://schemas.openxmlformats.org/officeDocument/2006/relationships/worksheet" Target="/xl/worksheets/sheet4.xml" Id="Rcd811a0a668047e0" /><Relationship Type="http://schemas.openxmlformats.org/officeDocument/2006/relationships/worksheet" Target="/xl/worksheets/sheet5.xml" Id="R232f82b7a94f463a" /><Relationship Type="http://schemas.openxmlformats.org/officeDocument/2006/relationships/worksheet" Target="/xl/worksheets/sheet6.xml" Id="R181ded85464740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58" hidden="0" customWidth="1"/>
    <x:col min="3" max="3" width="24" hidden="0" customWidth="1"/>
  </x:cols>
  <x:sheetData>
    <x:row r="1" ht="30" customHeight="1">
      <x:c r="A1" s="11" t="str">
        <x:v>項目</x:v>
      </x:c>
      <x:c r="B1" s="12" t="str">
        <x:v>數值</x:v>
      </x:c>
      <x:c r="C1" s="13" t="str">
        <x:v>資料標示</x:v>
      </x:c>
    </x:row>
    <x:row r="2">
      <x:c r="A2" s="19" t="str">
        <x:v>企業</x:v>
      </x:c>
      <x:c r="B2" s="20" t="str">
        <x:v>蔭下書屋（虛構企業）</x:v>
      </x:c>
      <x:c r="C2" s="20" t="str">
        <x:v>模擬</x:v>
      </x:c>
    </x:row>
    <x:row r="3">
      <x:c r="A3" s="19" t="str">
        <x:v>報告期間</x:v>
      </x:c>
      <x:c r="B3" s="20" t="str">
        <x:v>2026-01-01 至 2026-10-24</x:v>
      </x:c>
      <x:c r="C3" s="20" t="str">
        <x:v>模擬</x:v>
      </x:c>
    </x:row>
    <x:row r="4">
      <x:c r="A4" s="19" t="str">
        <x:v>資料截止日</x:v>
      </x:c>
      <x:c r="B4" s="20" t="str">
        <x:v>2026-10-24</x:v>
      </x:c>
      <x:c r="C4" s="20" t="str">
        <x:v>固定日期</x:v>
      </x:c>
    </x:row>
    <x:row r="5">
      <x:c r="A5" s="19" t="str">
        <x:v>認養棵數</x:v>
      </x:c>
      <x:c r="B5" s="20" t="n">
        <x:f>COUNTA('逐棵明細'!A2:A11)</x:f>
        <x:v>10</x:v>
      </x:c>
      <x:c r="C5" s="20" t="str">
        <x:v>樹籍真實；認養模擬</x:v>
      </x:c>
    </x:row>
    <x:row r="6">
      <x:c r="A6" s="19" t="str">
        <x:v>樹種數</x:v>
      </x:c>
      <x:c r="B6" s="20" t="n">
        <x:v>3</x:v>
      </x:c>
      <x:c r="C6" s="20" t="str">
        <x:v>真實樹籍</x:v>
      </x:c>
    </x:row>
    <x:row r="7">
      <x:c r="A7" s="19" t="str">
        <x:v>存活棵數</x:v>
      </x:c>
      <x:c r="B7" s="20" t="n">
        <x:f>COUNTIF('逐棵明細'!N2:N11,"存活")</x:f>
        <x:v>9</x:v>
      </x:c>
      <x:c r="C7" s="20" t="str">
        <x:v>模擬</x:v>
      </x:c>
    </x:row>
    <x:row r="8">
      <x:c r="A8" s="19" t="str">
        <x:v>存活率</x:v>
      </x:c>
      <x:c r="B8" s="21" t="n">
        <x:f>IF(B5=0,0,B7/B5)</x:f>
        <x:v>0.9</x:v>
      </x:c>
      <x:c r="C8" s="20" t="str">
        <x:v>公式：存活／認養</x:v>
      </x:c>
    </x:row>
    <x:row r="9">
      <x:c r="A9" s="19" t="str">
        <x:v>有效照片數</x:v>
      </x:c>
      <x:c r="B9" s="20" t="n">
        <x:v>11</x:v>
      </x:c>
      <x:c r="C9" s="20" t="str">
        <x:v>模擬</x:v>
      </x:c>
    </x:row>
    <x:row r="10">
      <x:c r="A10" s="19" t="str">
        <x:v>市民有效照片數</x:v>
      </x:c>
      <x:c r="B10" s="20" t="n">
        <x:v>6</x:v>
      </x:c>
      <x:c r="C10" s="20" t="str">
        <x:v>模擬</x:v>
      </x:c>
    </x:row>
    <x:row r="11">
      <x:c r="A11" s="19" t="str">
        <x:v>企業志工有效照片數</x:v>
      </x:c>
      <x:c r="B11" s="20" t="n">
        <x:v>5</x:v>
      </x:c>
      <x:c r="C11" s="20" t="str">
        <x:v>模擬</x:v>
      </x:c>
    </x:row>
    <x:row r="12">
      <x:c r="A12" s="19" t="str">
        <x:v>贊助獎品兌換數</x:v>
      </x:c>
      <x:c r="B12" s="20" t="n">
        <x:v>48</x:v>
      </x:c>
      <x:c r="C12" s="20" t="str">
        <x:v>模擬</x:v>
      </x:c>
    </x:row>
    <x:row r="13">
      <x:c r="A13" s="19" t="str">
        <x:v>投入金額</x:v>
      </x:c>
      <x:c r="B13" s="22" t="n">
        <x:v>180000</x:v>
      </x:c>
      <x:c r="C13" s="20" t="str">
        <x:v>模擬</x:v>
      </x:c>
    </x:row>
    <x:row r="14">
      <x:c r="A14" s="23" t="str">
        <x:v>揭露邊界</x:v>
      </x:c>
      <x:c r="B14" s="24" t="str">
        <x:v>自願保育行動，不能算減排，也不是碳權。</x:v>
      </x:c>
      <x:c r="C14" s="24" t="str">
        <x:v>固定文字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779999732971191" hidden="0" customWidth="1"/>
    <x:col min="2" max="2" width="6.440000057220459" hidden="0" customWidth="1"/>
    <x:col min="3" max="3" width="5" hidden="0" customWidth="1"/>
    <x:col min="4" max="4" width="9.4399995803833" hidden="0" customWidth="1"/>
    <x:col min="5" max="5" width="8.329999923706055" hidden="0" customWidth="1"/>
    <x:col min="6" max="6" width="7.440000057220459" hidden="0" customWidth="1"/>
    <x:col min="7" max="7" width="10.779999732971191" hidden="0" customWidth="1"/>
    <x:col min="8" max="8" width="11.670000076293945" hidden="0" customWidth="1"/>
    <x:col min="9" max="9" width="9.4399995803833" hidden="0" customWidth="1"/>
    <x:col min="10" max="10" width="9.4399995803833" hidden="0" customWidth="1"/>
    <x:col min="11" max="11" width="12.329999923706055" hidden="0" customWidth="1"/>
    <x:col min="12" max="12" width="13.890000343322754" hidden="0" customWidth="1"/>
    <x:col min="13" max="13" width="10.890000343322754" hidden="0" customWidth="1"/>
    <x:col min="14" max="14" width="9.4399995803833" hidden="0" customWidth="1"/>
    <x:col min="15" max="15" width="36" hidden="0" customWidth="1"/>
    <x:col min="16" max="16" width="12.329999923706055" hidden="0" customWidth="1"/>
  </x:cols>
  <x:sheetData>
    <x:row r="1" ht="30" customHeight="1">
      <x:c r="A1" s="11" t="str">
        <x:v>樹籍編號</x:v>
      </x:c>
      <x:c r="B1" s="12" t="str">
        <x:v>樹種</x:v>
      </x:c>
      <x:c r="C1" s="12" t="str">
        <x:v>行政區</x:v>
      </x:c>
      <x:c r="D1" s="12" t="str">
        <x:v>路段／公園</x:v>
      </x:c>
      <x:c r="E1" s="12" t="str">
        <x:v>經度</x:v>
      </x:c>
      <x:c r="F1" s="12" t="str">
        <x:v>緯度</x:v>
      </x:c>
      <x:c r="G1" s="12" t="str">
        <x:v>TWD97 X</x:v>
      </x:c>
      <x:c r="H1" s="12" t="str">
        <x:v>TWD97 Y</x:v>
      </x:c>
      <x:c r="I1" s="12" t="str">
        <x:v>胸徑（公分）</x:v>
      </x:c>
      <x:c r="J1" s="12" t="str">
        <x:v>樹高（公尺）</x:v>
      </x:c>
      <x:c r="K1" s="12" t="str">
        <x:v>認養起日（模擬）</x:v>
      </x:c>
      <x:c r="L1" s="12" t="str">
        <x:v>最近照片日（模擬）</x:v>
      </x:c>
      <x:c r="M1" s="12" t="str">
        <x:v>照片數（模擬）</x:v>
      </x:c>
      <x:c r="N1" s="12" t="str">
        <x:v>狀態（模擬）</x:v>
      </x:c>
      <x:c r="O1" s="12" t="str">
        <x:v>最近照片連結（模擬）</x:v>
      </x:c>
      <x:c r="P1" s="13" t="str">
        <x:v>公園處最近調查日</x:v>
      </x:c>
    </x:row>
    <x:row r="2">
      <x:c r="A2" s="2" t="str">
        <x:v>DA0303211164</x:v>
      </x:c>
      <x:c r="B2" s="2" t="str">
        <x:v>臺灣欒樹</x:v>
      </x:c>
      <x:c r="C2" s="2" t="str">
        <x:v>大安區</x:v>
      </x:c>
      <x:c r="D2" s="2" t="str">
        <x:v>敦化南路二段</x:v>
      </x:c>
      <x:c r="E2" s="25" t="n">
        <x:v>121.548879</x:v>
      </x:c>
      <x:c r="F2" s="25" t="n">
        <x:v>25.029347</x:v>
      </x:c>
      <x:c r="G2" s="25" t="n">
        <x:v>305391.22</x:v>
      </x:c>
      <x:c r="H2" s="25" t="n">
        <x:v>2769140.35</x:v>
      </x:c>
      <x:c r="I2" s="26" t="n">
        <x:v>27</x:v>
      </x:c>
      <x:c r="J2" s="26" t="n">
        <x:v>11.2</x:v>
      </x:c>
      <x:c r="K2" s="2" t="str">
        <x:v>2026-06</x:v>
      </x:c>
      <x:c r="L2" s="2" t="str"/>
      <x:c r="M2" s="2" t="n">
        <x:v>0</x:v>
      </x:c>
      <x:c r="N2" s="2" t="str">
        <x:v>待確認</x:v>
      </x:c>
      <x:c r="O2" s="2" t="str"/>
      <x:c r="P2" s="2" t="str">
        <x:v>2023-07-28</x:v>
      </x:c>
    </x:row>
    <x:row r="3">
      <x:c r="A3" s="2" t="str">
        <x:v>DA0303211358</x:v>
      </x:c>
      <x:c r="B3" s="2" t="str">
        <x:v>臺灣欒樹</x:v>
      </x:c>
      <x:c r="C3" s="2" t="str">
        <x:v>大安區</x:v>
      </x:c>
      <x:c r="D3" s="2" t="str">
        <x:v>敦化南路二段</x:v>
      </x:c>
      <x:c r="E3" s="25" t="n">
        <x:v>121.548845</x:v>
      </x:c>
      <x:c r="F3" s="25" t="n">
        <x:v>25.024014</x:v>
      </x:c>
      <x:c r="G3" s="25" t="n">
        <x:v>305390.19</x:v>
      </x:c>
      <x:c r="H3" s="25" t="n">
        <x:v>2768549.62</x:v>
      </x:c>
      <x:c r="I3" s="26" t="n">
        <x:v>29</x:v>
      </x:c>
      <x:c r="J3" s="26" t="n">
        <x:v>12.2</x:v>
      </x:c>
      <x:c r="K3" s="2" t="str">
        <x:v>2026-06</x:v>
      </x:c>
      <x:c r="L3" s="2" t="str">
        <x:v>2026-06-13</x:v>
      </x:c>
      <x:c r="M3" s="2" t="n">
        <x:v>2</x:v>
      </x:c>
      <x:c r="N3" s="2" t="str">
        <x:v>存活</x:v>
      </x:c>
      <x:c r="O3" s="2" t="str">
        <x:v>https://preview.taipei-tree-twin.pages.dev/esg/#/tree/DA0303211358</x:v>
      </x:c>
      <x:c r="P3" s="2" t="str">
        <x:v>2023-08-01</x:v>
      </x:c>
    </x:row>
    <x:row r="4">
      <x:c r="A4" s="2" t="str">
        <x:v>DA0303211455</x:v>
      </x:c>
      <x:c r="B4" s="2" t="str">
        <x:v>臺灣欒樹</x:v>
      </x:c>
      <x:c r="C4" s="2" t="str">
        <x:v>大安區</x:v>
      </x:c>
      <x:c r="D4" s="2" t="str">
        <x:v>敦化南路二段</x:v>
      </x:c>
      <x:c r="E4" s="25" t="n">
        <x:v>121.548803</x:v>
      </x:c>
      <x:c r="F4" s="25" t="n">
        <x:v>25.022267</x:v>
      </x:c>
      <x:c r="G4" s="25" t="n">
        <x:v>305386.73</x:v>
      </x:c>
      <x:c r="H4" s="25" t="n">
        <x:v>2768356.1</x:v>
      </x:c>
      <x:c r="I4" s="26" t="n">
        <x:v>39</x:v>
      </x:c>
      <x:c r="J4" s="26" t="n">
        <x:v>11.8</x:v>
      </x:c>
      <x:c r="K4" s="2" t="str">
        <x:v>2026-06</x:v>
      </x:c>
      <x:c r="L4" s="2" t="str">
        <x:v>2026-10-05</x:v>
      </x:c>
      <x:c r="M4" s="2" t="n">
        <x:v>2</x:v>
      </x:c>
      <x:c r="N4" s="2" t="str">
        <x:v>存活</x:v>
      </x:c>
      <x:c r="O4" s="2" t="str">
        <x:v>https://preview.taipei-tree-twin.pages.dev/esg/#/tree/DA0303211455</x:v>
      </x:c>
      <x:c r="P4" s="2" t="str">
        <x:v>2023-08-04</x:v>
      </x:c>
    </x:row>
    <x:row r="5">
      <x:c r="A5" s="2" t="str">
        <x:v>DA0303212037</x:v>
      </x:c>
      <x:c r="B5" s="2" t="str">
        <x:v>臺灣欒樹</x:v>
      </x:c>
      <x:c r="C5" s="2" t="str">
        <x:v>大安區</x:v>
      </x:c>
      <x:c r="D5" s="2" t="str">
        <x:v>敦化南路二段</x:v>
      </x:c>
      <x:c r="E5" s="25" t="n">
        <x:v>121.548574</x:v>
      </x:c>
      <x:c r="F5" s="25" t="n">
        <x:v>25.022571</x:v>
      </x:c>
      <x:c r="G5" s="25" t="n">
        <x:v>305363.48</x:v>
      </x:c>
      <x:c r="H5" s="25" t="n">
        <x:v>2768389.68</x:v>
      </x:c>
      <x:c r="I5" s="26" t="n">
        <x:v>26</x:v>
      </x:c>
      <x:c r="J5" s="26" t="n">
        <x:v>11</x:v>
      </x:c>
      <x:c r="K5" s="2" t="str">
        <x:v>2026-06</x:v>
      </x:c>
      <x:c r="L5" s="2" t="str">
        <x:v>2026-07-17</x:v>
      </x:c>
      <x:c r="M5" s="2" t="n">
        <x:v>2</x:v>
      </x:c>
      <x:c r="N5" s="2" t="str">
        <x:v>存活</x:v>
      </x:c>
      <x:c r="O5" s="2" t="str">
        <x:v>https://preview.taipei-tree-twin.pages.dev/esg/#/tree/DA0303212037</x:v>
      </x:c>
      <x:c r="P5" s="2" t="str">
        <x:v>2023-08-04</x:v>
      </x:c>
    </x:row>
    <x:row r="6">
      <x:c r="A6" s="2" t="str">
        <x:v>DA0303212134</x:v>
      </x:c>
      <x:c r="B6" s="2" t="str">
        <x:v>臺灣欒樹</x:v>
      </x:c>
      <x:c r="C6" s="2" t="str">
        <x:v>大安區</x:v>
      </x:c>
      <x:c r="D6" s="2" t="str">
        <x:v>敦化南路二段</x:v>
      </x:c>
      <x:c r="E6" s="25" t="n">
        <x:v>121.548628</x:v>
      </x:c>
      <x:c r="F6" s="25" t="n">
        <x:v>25.025209</x:v>
      </x:c>
      <x:c r="G6" s="25" t="n">
        <x:v>305367.75</x:v>
      </x:c>
      <x:c r="H6" s="25" t="n">
        <x:v>2768681.9</x:v>
      </x:c>
      <x:c r="I6" s="26" t="n">
        <x:v>28</x:v>
      </x:c>
      <x:c r="J6" s="26" t="n">
        <x:v>10.8</x:v>
      </x:c>
      <x:c r="K6" s="2" t="str">
        <x:v>2026-06</x:v>
      </x:c>
      <x:c r="L6" s="2" t="str"/>
      <x:c r="M6" s="2" t="n">
        <x:v>0</x:v>
      </x:c>
      <x:c r="N6" s="2" t="str">
        <x:v>存活</x:v>
      </x:c>
      <x:c r="O6" s="2" t="str"/>
      <x:c r="P6" s="2" t="str">
        <x:v>2023-08-09</x:v>
      </x:c>
    </x:row>
    <x:row r="7">
      <x:c r="A7" s="2" t="str">
        <x:v>DA0303212328</x:v>
      </x:c>
      <x:c r="B7" s="2" t="str">
        <x:v>臺灣欒樹</x:v>
      </x:c>
      <x:c r="C7" s="2" t="str">
        <x:v>大安區</x:v>
      </x:c>
      <x:c r="D7" s="2" t="str">
        <x:v>敦化南路二段</x:v>
      </x:c>
      <x:c r="E7" s="25" t="n">
        <x:v>121.54865</x:v>
      </x:c>
      <x:c r="F7" s="25" t="n">
        <x:v>25.029461</x:v>
      </x:c>
      <x:c r="G7" s="25" t="n">
        <x:v>305368.06</x:v>
      </x:c>
      <x:c r="H7" s="25" t="n">
        <x:v>2769152.88</x:v>
      </x:c>
      <x:c r="I7" s="26" t="n">
        <x:v>33</x:v>
      </x:c>
      <x:c r="J7" s="26" t="n">
        <x:v>15.9</x:v>
      </x:c>
      <x:c r="K7" s="2" t="str">
        <x:v>2026-06</x:v>
      </x:c>
      <x:c r="L7" s="2" t="str">
        <x:v>2026-08-25</x:v>
      </x:c>
      <x:c r="M7" s="2" t="n">
        <x:v>1</x:v>
      </x:c>
      <x:c r="N7" s="2" t="str">
        <x:v>存活</x:v>
      </x:c>
      <x:c r="O7" s="2" t="str">
        <x:v>https://preview.taipei-tree-twin.pages.dev/esg/#/tree/DA0303212328</x:v>
      </x:c>
      <x:c r="P7" s="2" t="str">
        <x:v>2023-08-12</x:v>
      </x:c>
    </x:row>
    <x:row r="8">
      <x:c r="A8" s="2" t="str">
        <x:v>DA0303212425</x:v>
      </x:c>
      <x:c r="B8" s="2" t="str">
        <x:v>臺灣欒樹</x:v>
      </x:c>
      <x:c r="C8" s="2" t="str">
        <x:v>大安區</x:v>
      </x:c>
      <x:c r="D8" s="2" t="str">
        <x:v>敦化南路二段</x:v>
      </x:c>
      <x:c r="E8" s="25" t="n">
        <x:v>121.548665</x:v>
      </x:c>
      <x:c r="F8" s="25" t="n">
        <x:v>25.031591</x:v>
      </x:c>
      <x:c r="G8" s="25" t="n">
        <x:v>305368.62</x:v>
      </x:c>
      <x:c r="H8" s="25" t="n">
        <x:v>2769388.82</x:v>
      </x:c>
      <x:c r="I8" s="26" t="n">
        <x:v>30</x:v>
      </x:c>
      <x:c r="J8" s="26" t="n">
        <x:v>11.2</x:v>
      </x:c>
      <x:c r="K8" s="2" t="str">
        <x:v>2026-06</x:v>
      </x:c>
      <x:c r="L8" s="2" t="str">
        <x:v>2026-09-07</x:v>
      </x:c>
      <x:c r="M8" s="2" t="n">
        <x:v>1</x:v>
      </x:c>
      <x:c r="N8" s="2" t="str">
        <x:v>存活</x:v>
      </x:c>
      <x:c r="O8" s="2" t="str">
        <x:v>https://preview.taipei-tree-twin.pages.dev/esg/#/tree/DA0303212425</x:v>
      </x:c>
      <x:c r="P8" s="2" t="str">
        <x:v>2023-08-11</x:v>
      </x:c>
    </x:row>
    <x:row r="9">
      <x:c r="A9" s="2" t="str">
        <x:v>DA0303213007</x:v>
      </x:c>
      <x:c r="B9" s="2" t="str">
        <x:v>臺灣欒樹</x:v>
      </x:c>
      <x:c r="C9" s="2" t="str">
        <x:v>大安區</x:v>
      </x:c>
      <x:c r="D9" s="2" t="str">
        <x:v>敦化南路二段</x:v>
      </x:c>
      <x:c r="E9" s="25" t="n">
        <x:v>121.548828</x:v>
      </x:c>
      <x:c r="F9" s="25" t="n">
        <x:v>25.027665</x:v>
      </x:c>
      <x:c r="G9" s="25" t="n">
        <x:v>305386.83</x:v>
      </x:c>
      <x:c r="H9" s="25" t="n">
        <x:v>2768954.02</x:v>
      </x:c>
      <x:c r="I9" s="26" t="n">
        <x:v>38</x:v>
      </x:c>
      <x:c r="J9" s="26" t="n">
        <x:v>12.2</x:v>
      </x:c>
      <x:c r="K9" s="2" t="str">
        <x:v>2026-06</x:v>
      </x:c>
      <x:c r="L9" s="2" t="str">
        <x:v>2026-07-15</x:v>
      </x:c>
      <x:c r="M9" s="2" t="n">
        <x:v>1</x:v>
      </x:c>
      <x:c r="N9" s="2" t="str">
        <x:v>存活</x:v>
      </x:c>
      <x:c r="O9" s="2" t="str">
        <x:v>https://preview.taipei-tree-twin.pages.dev/esg/#/tree/DA0303213007</x:v>
      </x:c>
      <x:c r="P9" s="2" t="str">
        <x:v>2023-07-31</x:v>
      </x:c>
    </x:row>
    <x:row r="10">
      <x:c r="A10" s="2" t="str">
        <x:v>DA0303221067</x:v>
      </x:c>
      <x:c r="B10" s="2" t="str">
        <x:v>榕樹</x:v>
      </x:c>
      <x:c r="C10" s="2" t="str">
        <x:v>大安區</x:v>
      </x:c>
      <x:c r="D10" s="2" t="str">
        <x:v>敦化南路二段</x:v>
      </x:c>
      <x:c r="E10" s="25" t="n">
        <x:v>121.549049</x:v>
      </x:c>
      <x:c r="F10" s="25" t="n">
        <x:v>25.026752</x:v>
      </x:c>
      <x:c r="G10" s="25" t="n">
        <x:v>305409.55</x:v>
      </x:c>
      <x:c r="H10" s="25" t="n">
        <x:v>2768852.98</x:v>
      </x:c>
      <x:c r="I10" s="26" t="n">
        <x:v>32</x:v>
      </x:c>
      <x:c r="J10" s="26" t="n">
        <x:v>9.7</x:v>
      </x:c>
      <x:c r="K10" s="2" t="str">
        <x:v>2026-06</x:v>
      </x:c>
      <x:c r="L10" s="2" t="str">
        <x:v>2026-04-01</x:v>
      </x:c>
      <x:c r="M10" s="2" t="n">
        <x:v>2</x:v>
      </x:c>
      <x:c r="N10" s="2" t="str">
        <x:v>存活</x:v>
      </x:c>
      <x:c r="O10" s="2" t="str">
        <x:v>https://preview.taipei-tree-twin.pages.dev/esg/#/tree/DA0303221067</x:v>
      </x:c>
      <x:c r="P10" s="2" t="str">
        <x:v>2023-07-31</x:v>
      </x:c>
    </x:row>
    <x:row r="11">
      <x:c r="A11" s="2" t="str">
        <x:v>DA0303231067</x:v>
      </x:c>
      <x:c r="B11" s="2" t="str">
        <x:v>茄苳</x:v>
      </x:c>
      <x:c r="C11" s="2" t="str">
        <x:v>大安區</x:v>
      </x:c>
      <x:c r="D11" s="2" t="str">
        <x:v>敦化南路二段</x:v>
      </x:c>
      <x:c r="E11" s="25" t="n">
        <x:v>121.548446</x:v>
      </x:c>
      <x:c r="F11" s="25" t="n">
        <x:v>25.02798</x:v>
      </x:c>
      <x:c r="G11" s="25" t="n">
        <x:v>305348.14</x:v>
      </x:c>
      <x:c r="H11" s="25" t="n">
        <x:v>2768988.76</x:v>
      </x:c>
      <x:c r="I11" s="26" t="n">
        <x:v>13</x:v>
      </x:c>
      <x:c r="J11" s="26" t="n">
        <x:v>8.4</x:v>
      </x:c>
      <x:c r="K11" s="2" t="str">
        <x:v>2026-06</x:v>
      </x:c>
      <x:c r="L11" s="2" t="str"/>
      <x:c r="M11" s="2" t="n">
        <x:v>0</x:v>
      </x:c>
      <x:c r="N11" s="2" t="str">
        <x:v>存活</x:v>
      </x:c>
      <x:c r="O11" s="2" t="str"/>
      <x:c r="P11" s="2" t="str">
        <x:v>2023-08-01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109999656677246" hidden="0" customWidth="1"/>
    <x:col min="2" max="2" width="10.779999732971191" hidden="0" customWidth="1"/>
    <x:col min="3" max="3" width="7.889999866485596" hidden="0" customWidth="1"/>
    <x:col min="4" max="4" width="6.440000057220459" hidden="0" customWidth="1"/>
    <x:col min="5" max="5" width="38" hidden="0" customWidth="1"/>
    <x:col min="6" max="6" width="16.780000686645508" hidden="0" customWidth="1"/>
    <x:col min="7" max="7" width="9.4399995803833" hidden="0" customWidth="1"/>
    <x:col min="8" max="8" width="6.440000057220459" hidden="0" customWidth="1"/>
  </x:cols>
  <x:sheetData>
    <x:row r="1" ht="30" customHeight="1">
      <x:c r="A1" s="11" t="str">
        <x:v>日期</x:v>
      </x:c>
      <x:c r="B1" s="12" t="str">
        <x:v>樹籍編號</x:v>
      </x:c>
      <x:c r="C1" s="12" t="str">
        <x:v>來源</x:v>
      </x:c>
      <x:c r="D1" s="12" t="str">
        <x:v>狀態</x:v>
      </x:c>
      <x:c r="E1" s="12" t="str">
        <x:v>照片連結</x:v>
      </x:c>
      <x:c r="F1" s="12" t="str">
        <x:v>照片與樹的距離（公尺）</x:v>
      </x:c>
      <x:c r="G1" s="12" t="str">
        <x:v>審核結果</x:v>
      </x:c>
      <x:c r="H1" s="13" t="str">
        <x:v>資料標示</x:v>
      </x:c>
    </x:row>
    <x:row r="2">
      <x:c r="A2" s="2" t="str">
        <x:v>2023-07-28</x:v>
      </x:c>
      <x:c r="B2" s="2" t="str">
        <x:v>DA0303211164</x:v>
      </x:c>
      <x:c r="C2" s="2" t="str">
        <x:v>公園處普查</x:v>
      </x:c>
      <x:c r="D2" s="2" t="str">
        <x:v>樹籍在冊</x:v>
      </x:c>
      <x:c r="E2" s="2" t="str"/>
      <x:c r="F2" s="26" t="str"/>
      <x:c r="G2" s="2" t="str">
        <x:v>原始樹籍紀錄</x:v>
      </x:c>
      <x:c r="H2" s="2" t="str">
        <x:v>真實</x:v>
      </x:c>
    </x:row>
    <x:row r="3">
      <x:c r="A3" s="2" t="str">
        <x:v>2023-08-01</x:v>
      </x:c>
      <x:c r="B3" s="2" t="str">
        <x:v>DA0303211358</x:v>
      </x:c>
      <x:c r="C3" s="2" t="str">
        <x:v>公園處普查</x:v>
      </x:c>
      <x:c r="D3" s="2" t="str">
        <x:v>樹籍在冊</x:v>
      </x:c>
      <x:c r="E3" s="2" t="str"/>
      <x:c r="F3" s="26" t="str"/>
      <x:c r="G3" s="2" t="str">
        <x:v>原始樹籍紀錄</x:v>
      </x:c>
      <x:c r="H3" s="2" t="str">
        <x:v>真實</x:v>
      </x:c>
    </x:row>
    <x:row r="4">
      <x:c r="A4" s="2" t="str">
        <x:v>2026-06-13</x:v>
      </x:c>
      <x:c r="B4" s="2" t="str">
        <x:v>DA0303211358</x:v>
      </x:c>
      <x:c r="C4" s="2" t="str">
        <x:v>企業志工</x:v>
      </x:c>
      <x:c r="D4" s="2" t="str">
        <x:v>存活</x:v>
      </x:c>
      <x:c r="E4" s="2" t="str">
        <x:v>https://preview.taipei-tree-twin.pages.dev/esg/#/tree/DA0303211358?photo=1</x:v>
      </x:c>
      <x:c r="F4" s="26" t="n">
        <x:v>0.6</x:v>
      </x:c>
      <x:c r="G4" s="2" t="str">
        <x:v>通過</x:v>
      </x:c>
      <x:c r="H4" s="2" t="str">
        <x:v>模擬</x:v>
      </x:c>
    </x:row>
    <x:row r="5">
      <x:c r="A5" s="2" t="str">
        <x:v>2026-03-14</x:v>
      </x:c>
      <x:c r="B5" s="2" t="str">
        <x:v>DA0303211358</x:v>
      </x:c>
      <x:c r="C5" s="2" t="str">
        <x:v>市民照片</x:v>
      </x:c>
      <x:c r="D5" s="2" t="str">
        <x:v>存活</x:v>
      </x:c>
      <x:c r="E5" s="2" t="str">
        <x:v>https://preview.taipei-tree-twin.pages.dev/esg/#/tree/DA0303211358?photo=2</x:v>
      </x:c>
      <x:c r="F5" s="26" t="n">
        <x:v>12.6</x:v>
      </x:c>
      <x:c r="G5" s="2" t="str">
        <x:v>通過</x:v>
      </x:c>
      <x:c r="H5" s="2" t="str">
        <x:v>模擬</x:v>
      </x:c>
    </x:row>
    <x:row r="6">
      <x:c r="A6" s="2" t="str">
        <x:v>2026-05-17</x:v>
      </x:c>
      <x:c r="B6" s="2" t="str">
        <x:v>DA0303211358</x:v>
      </x:c>
      <x:c r="C6" s="2" t="str">
        <x:v>市民照片</x:v>
      </x:c>
      <x:c r="D6" s="2" t="str">
        <x:v>存活</x:v>
      </x:c>
      <x:c r="E6" s="2" t="str">
        <x:v>https://preview.taipei-tree-twin.pages.dev/esg/#/tree/DA0303211358?photo=3</x:v>
      </x:c>
      <x:c r="F6" s="26" t="n">
        <x:v>20.4</x:v>
      </x:c>
      <x:c r="G6" s="2" t="str">
        <x:v>待人工審核</x:v>
      </x:c>
      <x:c r="H6" s="2" t="str">
        <x:v>模擬</x:v>
      </x:c>
    </x:row>
    <x:row r="7">
      <x:c r="A7" s="2" t="str">
        <x:v>2023-08-04</x:v>
      </x:c>
      <x:c r="B7" s="2" t="str">
        <x:v>DA0303211455</x:v>
      </x:c>
      <x:c r="C7" s="2" t="str">
        <x:v>公園處普查</x:v>
      </x:c>
      <x:c r="D7" s="2" t="str">
        <x:v>樹籍在冊</x:v>
      </x:c>
      <x:c r="E7" s="2" t="str"/>
      <x:c r="F7" s="26" t="str"/>
      <x:c r="G7" s="2" t="str">
        <x:v>原始樹籍紀錄</x:v>
      </x:c>
      <x:c r="H7" s="2" t="str">
        <x:v>真實</x:v>
      </x:c>
    </x:row>
    <x:row r="8">
      <x:c r="A8" s="2" t="str">
        <x:v>2026-10-05</x:v>
      </x:c>
      <x:c r="B8" s="2" t="str">
        <x:v>DA0303211455</x:v>
      </x:c>
      <x:c r="C8" s="2" t="str">
        <x:v>市民照片</x:v>
      </x:c>
      <x:c r="D8" s="2" t="str">
        <x:v>存活</x:v>
      </x:c>
      <x:c r="E8" s="2" t="str">
        <x:v>https://preview.taipei-tree-twin.pages.dev/esg/#/tree/DA0303211455?photo=1</x:v>
      </x:c>
      <x:c r="F8" s="26" t="n">
        <x:v>8.5</x:v>
      </x:c>
      <x:c r="G8" s="2" t="str">
        <x:v>通過</x:v>
      </x:c>
      <x:c r="H8" s="2" t="str">
        <x:v>模擬</x:v>
      </x:c>
    </x:row>
    <x:row r="9">
      <x:c r="A9" s="2" t="str">
        <x:v>2026-08-07</x:v>
      </x:c>
      <x:c r="B9" s="2" t="str">
        <x:v>DA0303211455</x:v>
      </x:c>
      <x:c r="C9" s="2" t="str">
        <x:v>市民照片</x:v>
      </x:c>
      <x:c r="D9" s="2" t="str">
        <x:v>存活</x:v>
      </x:c>
      <x:c r="E9" s="2" t="str">
        <x:v>https://preview.taipei-tree-twin.pages.dev/esg/#/tree/DA0303211455?photo=2</x:v>
      </x:c>
      <x:c r="F9" s="26" t="n">
        <x:v>19.3</x:v>
      </x:c>
      <x:c r="G9" s="2" t="str">
        <x:v>待人工審核</x:v>
      </x:c>
      <x:c r="H9" s="2" t="str">
        <x:v>模擬</x:v>
      </x:c>
    </x:row>
    <x:row r="10">
      <x:c r="A10" s="2" t="str">
        <x:v>2026-08-01</x:v>
      </x:c>
      <x:c r="B10" s="2" t="str">
        <x:v>DA0303211455</x:v>
      </x:c>
      <x:c r="C10" s="2" t="str">
        <x:v>企業志工</x:v>
      </x:c>
      <x:c r="D10" s="2" t="str">
        <x:v>存活</x:v>
      </x:c>
      <x:c r="E10" s="2" t="str">
        <x:v>https://preview.taipei-tree-twin.pages.dev/esg/#/tree/DA0303211455?photo=3</x:v>
      </x:c>
      <x:c r="F10" s="26" t="n">
        <x:v>9.3</x:v>
      </x:c>
      <x:c r="G10" s="2" t="str">
        <x:v>通過</x:v>
      </x:c>
      <x:c r="H10" s="2" t="str">
        <x:v>模擬</x:v>
      </x:c>
    </x:row>
    <x:row r="11">
      <x:c r="A11" s="2" t="str">
        <x:v>2023-08-04</x:v>
      </x:c>
      <x:c r="B11" s="2" t="str">
        <x:v>DA0303212037</x:v>
      </x:c>
      <x:c r="C11" s="2" t="str">
        <x:v>公園處普查</x:v>
      </x:c>
      <x:c r="D11" s="2" t="str">
        <x:v>樹籍在冊</x:v>
      </x:c>
      <x:c r="E11" s="2" t="str"/>
      <x:c r="F11" s="26" t="str"/>
      <x:c r="G11" s="2" t="str">
        <x:v>原始樹籍紀錄</x:v>
      </x:c>
      <x:c r="H11" s="2" t="str">
        <x:v>真實</x:v>
      </x:c>
    </x:row>
    <x:row r="12">
      <x:c r="A12" s="2" t="str">
        <x:v>2026-07-07</x:v>
      </x:c>
      <x:c r="B12" s="2" t="str">
        <x:v>DA0303212037</x:v>
      </x:c>
      <x:c r="C12" s="2" t="str">
        <x:v>市民照片</x:v>
      </x:c>
      <x:c r="D12" s="2" t="str">
        <x:v>存活</x:v>
      </x:c>
      <x:c r="E12" s="2" t="str">
        <x:v>https://preview.taipei-tree-twin.pages.dev/esg/#/tree/DA0303212037?photo=1</x:v>
      </x:c>
      <x:c r="F12" s="26" t="n">
        <x:v>14.3</x:v>
      </x:c>
      <x:c r="G12" s="2" t="str">
        <x:v>通過</x:v>
      </x:c>
      <x:c r="H12" s="2" t="str">
        <x:v>模擬</x:v>
      </x:c>
    </x:row>
    <x:row r="13">
      <x:c r="A13" s="2" t="str">
        <x:v>2026-07-17</x:v>
      </x:c>
      <x:c r="B13" s="2" t="str">
        <x:v>DA0303212037</x:v>
      </x:c>
      <x:c r="C13" s="2" t="str">
        <x:v>市民照片</x:v>
      </x:c>
      <x:c r="D13" s="2" t="str">
        <x:v>存活</x:v>
      </x:c>
      <x:c r="E13" s="2" t="str">
        <x:v>https://preview.taipei-tree-twin.pages.dev/esg/#/tree/DA0303212037?photo=2</x:v>
      </x:c>
      <x:c r="F13" s="26" t="n">
        <x:v>1</x:v>
      </x:c>
      <x:c r="G13" s="2" t="str">
        <x:v>通過</x:v>
      </x:c>
      <x:c r="H13" s="2" t="str">
        <x:v>模擬</x:v>
      </x:c>
    </x:row>
    <x:row r="14">
      <x:c r="A14" s="2" t="str">
        <x:v>2026-10-03</x:v>
      </x:c>
      <x:c r="B14" s="2" t="str">
        <x:v>DA0303212037</x:v>
      </x:c>
      <x:c r="C14" s="2" t="str">
        <x:v>企業志工</x:v>
      </x:c>
      <x:c r="D14" s="2" t="str">
        <x:v>存活</x:v>
      </x:c>
      <x:c r="E14" s="2" t="str">
        <x:v>https://preview.taipei-tree-twin.pages.dev/esg/#/tree/DA0303212037?photo=3</x:v>
      </x:c>
      <x:c r="F14" s="26" t="n">
        <x:v>18.2</x:v>
      </x:c>
      <x:c r="G14" s="2" t="str">
        <x:v>待人工審核</x:v>
      </x:c>
      <x:c r="H14" s="2" t="str">
        <x:v>模擬</x:v>
      </x:c>
    </x:row>
    <x:row r="15">
      <x:c r="A15" s="2" t="str">
        <x:v>2023-08-09</x:v>
      </x:c>
      <x:c r="B15" s="2" t="str">
        <x:v>DA0303212134</x:v>
      </x:c>
      <x:c r="C15" s="2" t="str">
        <x:v>公園處普查</x:v>
      </x:c>
      <x:c r="D15" s="2" t="str">
        <x:v>樹籍在冊</x:v>
      </x:c>
      <x:c r="E15" s="2" t="str"/>
      <x:c r="F15" s="26" t="str"/>
      <x:c r="G15" s="2" t="str">
        <x:v>原始樹籍紀錄</x:v>
      </x:c>
      <x:c r="H15" s="2" t="str">
        <x:v>真實</x:v>
      </x:c>
    </x:row>
    <x:row r="16">
      <x:c r="A16" s="2" t="str">
        <x:v>2023-08-12</x:v>
      </x:c>
      <x:c r="B16" s="2" t="str">
        <x:v>DA0303212328</x:v>
      </x:c>
      <x:c r="C16" s="2" t="str">
        <x:v>公園處普查</x:v>
      </x:c>
      <x:c r="D16" s="2" t="str">
        <x:v>樹籍在冊</x:v>
      </x:c>
      <x:c r="E16" s="2" t="str"/>
      <x:c r="F16" s="26" t="str"/>
      <x:c r="G16" s="2" t="str">
        <x:v>原始樹籍紀錄</x:v>
      </x:c>
      <x:c r="H16" s="2" t="str">
        <x:v>真實</x:v>
      </x:c>
    </x:row>
    <x:row r="17">
      <x:c r="A17" s="2" t="str">
        <x:v>2026-05-25</x:v>
      </x:c>
      <x:c r="B17" s="2" t="str">
        <x:v>DA0303212328</x:v>
      </x:c>
      <x:c r="C17" s="2" t="str">
        <x:v>市民照片</x:v>
      </x:c>
      <x:c r="D17" s="2" t="str">
        <x:v>存活</x:v>
      </x:c>
      <x:c r="E17" s="2" t="str">
        <x:v>https://preview.taipei-tree-twin.pages.dev/esg/#/tree/DA0303212328?photo=1</x:v>
      </x:c>
      <x:c r="F17" s="26" t="n">
        <x:v>20.1</x:v>
      </x:c>
      <x:c r="G17" s="2" t="str">
        <x:v>待人工審核</x:v>
      </x:c>
      <x:c r="H17" s="2" t="str">
        <x:v>模擬</x:v>
      </x:c>
    </x:row>
    <x:row r="18">
      <x:c r="A18" s="2" t="str">
        <x:v>2026-08-25</x:v>
      </x:c>
      <x:c r="B18" s="2" t="str">
        <x:v>DA0303212328</x:v>
      </x:c>
      <x:c r="C18" s="2" t="str">
        <x:v>市民照片</x:v>
      </x:c>
      <x:c r="D18" s="2" t="str">
        <x:v>存活</x:v>
      </x:c>
      <x:c r="E18" s="2" t="str">
        <x:v>https://preview.taipei-tree-twin.pages.dev/esg/#/tree/DA0303212328?photo=2</x:v>
      </x:c>
      <x:c r="F18" s="26" t="n">
        <x:v>7.5</x:v>
      </x:c>
      <x:c r="G18" s="2" t="str">
        <x:v>通過</x:v>
      </x:c>
      <x:c r="H18" s="2" t="str">
        <x:v>模擬</x:v>
      </x:c>
    </x:row>
    <x:row r="19">
      <x:c r="A19" s="2" t="str">
        <x:v>2023-08-11</x:v>
      </x:c>
      <x:c r="B19" s="2" t="str">
        <x:v>DA0303212425</x:v>
      </x:c>
      <x:c r="C19" s="2" t="str">
        <x:v>公園處普查</x:v>
      </x:c>
      <x:c r="D19" s="2" t="str">
        <x:v>樹籍在冊</x:v>
      </x:c>
      <x:c r="E19" s="2" t="str"/>
      <x:c r="F19" s="26" t="str"/>
      <x:c r="G19" s="2" t="str">
        <x:v>原始樹籍紀錄</x:v>
      </x:c>
      <x:c r="H19" s="2" t="str">
        <x:v>真實</x:v>
      </x:c>
    </x:row>
    <x:row r="20">
      <x:c r="A20" s="2" t="str">
        <x:v>2026-09-07</x:v>
      </x:c>
      <x:c r="B20" s="2" t="str">
        <x:v>DA0303212425</x:v>
      </x:c>
      <x:c r="C20" s="2" t="str">
        <x:v>企業志工</x:v>
      </x:c>
      <x:c r="D20" s="2" t="str">
        <x:v>存活</x:v>
      </x:c>
      <x:c r="E20" s="2" t="str">
        <x:v>https://preview.taipei-tree-twin.pages.dev/esg/#/tree/DA0303212425?photo=1</x:v>
      </x:c>
      <x:c r="F20" s="26" t="n">
        <x:v>7</x:v>
      </x:c>
      <x:c r="G20" s="2" t="str">
        <x:v>通過</x:v>
      </x:c>
      <x:c r="H20" s="2" t="str">
        <x:v>模擬</x:v>
      </x:c>
    </x:row>
    <x:row r="21">
      <x:c r="A21" s="2" t="str">
        <x:v>2023-07-31</x:v>
      </x:c>
      <x:c r="B21" s="2" t="str">
        <x:v>DA0303213007</x:v>
      </x:c>
      <x:c r="C21" s="2" t="str">
        <x:v>公園處普查</x:v>
      </x:c>
      <x:c r="D21" s="2" t="str">
        <x:v>樹籍在冊</x:v>
      </x:c>
      <x:c r="E21" s="2" t="str"/>
      <x:c r="F21" s="26" t="str"/>
      <x:c r="G21" s="2" t="str">
        <x:v>原始樹籍紀錄</x:v>
      </x:c>
      <x:c r="H21" s="2" t="str">
        <x:v>真實</x:v>
      </x:c>
    </x:row>
    <x:row r="22">
      <x:c r="A22" s="2" t="str">
        <x:v>2026-05-01</x:v>
      </x:c>
      <x:c r="B22" s="2" t="str">
        <x:v>DA0303213007</x:v>
      </x:c>
      <x:c r="C22" s="2" t="str">
        <x:v>市民照片</x:v>
      </x:c>
      <x:c r="D22" s="2" t="str">
        <x:v>存活</x:v>
      </x:c>
      <x:c r="E22" s="2" t="str">
        <x:v>https://preview.taipei-tree-twin.pages.dev/esg/#/tree/DA0303213007?photo=1</x:v>
      </x:c>
      <x:c r="F22" s="26" t="n">
        <x:v>21.3</x:v>
      </x:c>
      <x:c r="G22" s="2" t="str">
        <x:v>待人工審核</x:v>
      </x:c>
      <x:c r="H22" s="2" t="str">
        <x:v>模擬</x:v>
      </x:c>
    </x:row>
    <x:row r="23">
      <x:c r="A23" s="2" t="str">
        <x:v>2026-04-26</x:v>
      </x:c>
      <x:c r="B23" s="2" t="str">
        <x:v>DA0303213007</x:v>
      </x:c>
      <x:c r="C23" s="2" t="str">
        <x:v>市民照片</x:v>
      </x:c>
      <x:c r="D23" s="2" t="str">
        <x:v>存活</x:v>
      </x:c>
      <x:c r="E23" s="2" t="str">
        <x:v>https://preview.taipei-tree-twin.pages.dev/esg/#/tree/DA0303213007?photo=2</x:v>
      </x:c>
      <x:c r="F23" s="26" t="n">
        <x:v>20.3</x:v>
      </x:c>
      <x:c r="G23" s="2" t="str">
        <x:v>待人工審核</x:v>
      </x:c>
      <x:c r="H23" s="2" t="str">
        <x:v>模擬</x:v>
      </x:c>
    </x:row>
    <x:row r="24">
      <x:c r="A24" s="2" t="str">
        <x:v>2026-07-15</x:v>
      </x:c>
      <x:c r="B24" s="2" t="str">
        <x:v>DA0303213007</x:v>
      </x:c>
      <x:c r="C24" s="2" t="str">
        <x:v>企業志工</x:v>
      </x:c>
      <x:c r="D24" s="2" t="str">
        <x:v>存活</x:v>
      </x:c>
      <x:c r="E24" s="2" t="str">
        <x:v>https://preview.taipei-tree-twin.pages.dev/esg/#/tree/DA0303213007?photo=3</x:v>
      </x:c>
      <x:c r="F24" s="26" t="n">
        <x:v>6.4</x:v>
      </x:c>
      <x:c r="G24" s="2" t="str">
        <x:v>通過</x:v>
      </x:c>
      <x:c r="H24" s="2" t="str">
        <x:v>模擬</x:v>
      </x:c>
    </x:row>
    <x:row r="25">
      <x:c r="A25" s="2" t="str">
        <x:v>2023-07-31</x:v>
      </x:c>
      <x:c r="B25" s="2" t="str">
        <x:v>DA0303221067</x:v>
      </x:c>
      <x:c r="C25" s="2" t="str">
        <x:v>公園處普查</x:v>
      </x:c>
      <x:c r="D25" s="2" t="str">
        <x:v>樹籍在冊</x:v>
      </x:c>
      <x:c r="E25" s="2" t="str"/>
      <x:c r="F25" s="26" t="str"/>
      <x:c r="G25" s="2" t="str">
        <x:v>原始樹籍紀錄</x:v>
      </x:c>
      <x:c r="H25" s="2" t="str">
        <x:v>真實</x:v>
      </x:c>
    </x:row>
    <x:row r="26">
      <x:c r="A26" s="2" t="str">
        <x:v>2026-03-26</x:v>
      </x:c>
      <x:c r="B26" s="2" t="str">
        <x:v>DA0303221067</x:v>
      </x:c>
      <x:c r="C26" s="2" t="str">
        <x:v>企業志工</x:v>
      </x:c>
      <x:c r="D26" s="2" t="str">
        <x:v>存活</x:v>
      </x:c>
      <x:c r="E26" s="2" t="str">
        <x:v>https://preview.taipei-tree-twin.pages.dev/esg/#/tree/DA0303221067?photo=1</x:v>
      </x:c>
      <x:c r="F26" s="26" t="n">
        <x:v>15.8</x:v>
      </x:c>
      <x:c r="G26" s="2" t="str">
        <x:v>待人工審核</x:v>
      </x:c>
      <x:c r="H26" s="2" t="str">
        <x:v>模擬</x:v>
      </x:c>
    </x:row>
    <x:row r="27">
      <x:c r="A27" s="2" t="str">
        <x:v>2026-04-01</x:v>
      </x:c>
      <x:c r="B27" s="2" t="str">
        <x:v>DA0303221067</x:v>
      </x:c>
      <x:c r="C27" s="2" t="str">
        <x:v>企業志工</x:v>
      </x:c>
      <x:c r="D27" s="2" t="str">
        <x:v>存活</x:v>
      </x:c>
      <x:c r="E27" s="2" t="str">
        <x:v>https://preview.taipei-tree-twin.pages.dev/esg/#/tree/DA0303221067?photo=2</x:v>
      </x:c>
      <x:c r="F27" s="26" t="n">
        <x:v>2</x:v>
      </x:c>
      <x:c r="G27" s="2" t="str">
        <x:v>通過</x:v>
      </x:c>
      <x:c r="H27" s="2" t="str">
        <x:v>模擬</x:v>
      </x:c>
    </x:row>
    <x:row r="28">
      <x:c r="A28" s="2" t="str">
        <x:v>2026-03-02</x:v>
      </x:c>
      <x:c r="B28" s="2" t="str">
        <x:v>DA0303221067</x:v>
      </x:c>
      <x:c r="C28" s="2" t="str">
        <x:v>市民照片</x:v>
      </x:c>
      <x:c r="D28" s="2" t="str">
        <x:v>存活</x:v>
      </x:c>
      <x:c r="E28" s="2" t="str">
        <x:v>https://preview.taipei-tree-twin.pages.dev/esg/#/tree/DA0303221067?photo=3</x:v>
      </x:c>
      <x:c r="F28" s="26" t="n">
        <x:v>10.8</x:v>
      </x:c>
      <x:c r="G28" s="2" t="str">
        <x:v>通過</x:v>
      </x:c>
      <x:c r="H28" s="2" t="str">
        <x:v>模擬</x:v>
      </x:c>
    </x:row>
    <x:row r="29">
      <x:c r="A29" s="2" t="str">
        <x:v>2023-08-01</x:v>
      </x:c>
      <x:c r="B29" s="2" t="str">
        <x:v>DA0303231067</x:v>
      </x:c>
      <x:c r="C29" s="2" t="str">
        <x:v>公園處普查</x:v>
      </x:c>
      <x:c r="D29" s="2" t="str">
        <x:v>樹籍在冊</x:v>
      </x:c>
      <x:c r="E29" s="2" t="str"/>
      <x:c r="F29" s="26" t="str"/>
      <x:c r="G29" s="2" t="str">
        <x:v>原始樹籍紀錄</x:v>
      </x:c>
      <x:c r="H29" s="2" t="str">
        <x:v>真實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44" hidden="0" customWidth="1"/>
    <x:col min="4" max="4" width="44" hidden="0" customWidth="1"/>
    <x:col min="5" max="5" width="24" hidden="0" customWidth="1"/>
  </x:cols>
  <x:sheetData>
    <x:row r="1" ht="30" customHeight="1">
      <x:c r="A1" s="11" t="str">
        <x:v>揭露編號</x:v>
      </x:c>
      <x:c r="B1" s="12" t="str">
        <x:v>標題</x:v>
      </x:c>
      <x:c r="C1" s="12" t="str">
        <x:v>本平台提供的資料</x:v>
      </x:c>
      <x:c r="D1" s="12" t="str">
        <x:v>報告書可引用段落</x:v>
      </x:c>
      <x:c r="E1" s="13" t="str">
        <x:v>確信狀態（企業填）</x:v>
      </x:c>
    </x:row>
    <x:row r="2">
      <x:c r="A2" s="20" t="str">
        <x:v>GRI 101-2-a-v</x:v>
      </x:c>
      <x:c r="B2" s="20" t="str">
        <x:v>額外保育行動</x:v>
      </x:c>
      <x:c r="C2" s="20" t="str">
        <x:v>逐棵樹籍、認養期間、照片與盤點紀錄</x:v>
      </x:c>
      <x:c r="D2" s="20" t="str">
        <x:v>額外保育行動段落</x:v>
      </x:c>
      <x:c r="E2" s="27" t="str"/>
    </x:row>
    <x:row r="3">
      <x:c r="A3" s="20" t="str">
        <x:v>TNFD A24.1</x:v>
      </x:c>
      <x:c r="B3" s="20" t="str">
        <x:v>自願復育專案</x:v>
      </x:c>
      <x:c r="C3" s="20" t="str">
        <x:v>株數、期間、監測頻率</x:v>
      </x:c>
      <x:c r="D3" s="20" t="str">
        <x:v>自願保育與復育段落</x:v>
      </x:c>
      <x:c r="E3" s="27" t="str"/>
    </x:row>
    <x:row r="4">
      <x:c r="A4" s="20" t="str">
        <x:v>TNFD A24.2</x:v>
      </x:c>
      <x:c r="B4" s="20" t="str">
        <x:v>額外保育行動投入</x:v>
      </x:c>
      <x:c r="C4" s="20" t="str">
        <x:v>投入金額（模擬）</x:v>
      </x:c>
      <x:c r="D4" s="20" t="str">
        <x:v>自願保育與復育段落</x:v>
      </x:c>
      <x:c r="E4" s="27" t="str"/>
    </x:row>
    <x:row r="5">
      <x:c r="A5" s="20" t="str">
        <x:v>GRI 413-1</x:v>
      </x:c>
      <x:c r="B5" s="20" t="str">
        <x:v>當地社區參與</x:v>
      </x:c>
      <x:c r="C5" s="20" t="str">
        <x:v>市民與企業志工照片紀錄</x:v>
      </x:c>
      <x:c r="D5" s="20" t="str">
        <x:v>氣候調適與社區投資段落</x:v>
      </x:c>
      <x:c r="E5" s="27" t="str"/>
    </x:row>
    <x:row r="6">
      <x:c r="A6" s="20" t="str">
        <x:v>GRI 201-1</x:v>
      </x:c>
      <x:c r="B6" s="20" t="str">
        <x:v>社區投資</x:v>
      </x:c>
      <x:c r="C6" s="20" t="str">
        <x:v>投入金額（模擬）</x:v>
      </x:c>
      <x:c r="D6" s="20" t="str">
        <x:v>氣候調適與社區投資段落</x:v>
      </x:c>
      <x:c r="E6" s="27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34" hidden="0" customWidth="1"/>
    <x:col min="3" max="3" width="100" hidden="0" customWidth="1"/>
  </x:cols>
  <x:sheetData>
    <x:row r="1" ht="30" customHeight="1">
      <x:c r="A1" s="11" t="str">
        <x:v>段落</x:v>
      </x:c>
      <x:c r="B1" s="12" t="str">
        <x:v>對應項目</x:v>
      </x:c>
      <x:c r="C1" s="13" t="str">
        <x:v>報告書草稿</x:v>
      </x:c>
    </x:row>
    <x:row r="2" ht="82" customHeight="1">
      <x:c r="A2" s="20" t="str">
        <x:v>額外保育行動</x:v>
      </x:c>
      <x:c r="B2" s="20" t="str">
        <x:v>GRI 101-2-a-v、SDG 15</x:v>
      </x:c>
      <x:c r="C2" s="20" t="str">
        <x:v>本公司自 2026-06 起與臺北市政府公園處合作，自願認養單棵認養行道樹共 10 株樹木，負擔養護經費。此為與第三方合作的額外保育行動，不用來管理本公司營運造成的生物多樣性衝擊。每株樹都有市府樹籍編號，養護與照片紀錄可逐株查核。</x:v>
      </x:c>
    </x:row>
    <x:row r="3" ht="82" customHeight="1">
      <x:c r="A3" s="20" t="str">
        <x:v>自願保育與復育</x:v>
      </x:c>
      <x:c r="B3" s="20" t="str">
        <x:v>TNFD A24、SDG 15</x:v>
      </x:c>
      <x:c r="C3" s="20" t="str">
        <x:v>認養範圍共 10 株，位於大安區。平台以逐棵樹籍編號、日期與照片追蹤成果；本期共有 11 張照片通過位置規則。額外保育行動投入金額為新臺幣 180,000 元（模擬）。</x:v>
      </x:c>
    </x:row>
    <x:row r="4" ht="82" customHeight="1">
      <x:c r="A4" s="20" t="str">
        <x:v>氣候調適與社區投資</x:v>
      </x:c>
      <x:c r="B4" s="20" t="str">
        <x:v>GRI 413-1、GRI 201-1、SDG 11、13</x:v>
      </x:c>
      <x:c r="C4" s="20" t="str">
        <x:v>認養樹位於大安區的人行道與公園，提供行人遮蔭，作為都市熱環境調適的質性行動。本期由市民與企業志工上傳照片並留下可追溯紀錄，投入金額可列為社區投資。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00" hidden="0" customWidth="1"/>
  </x:cols>
  <x:sheetData>
    <x:row r="1" ht="30" customHeight="1">
      <x:c r="A1" s="11" t="str">
        <x:v>項目</x:v>
      </x:c>
      <x:c r="B1" s="13" t="str">
        <x:v>方法與限制</x:v>
      </x:c>
    </x:row>
    <x:row r="2">
      <x:c r="A2" s="20" t="str">
        <x:v>資料截止日</x:v>
      </x:c>
      <x:c r="B2" s="20" t="str">
        <x:v>2026-10-24</x:v>
      </x:c>
    </x:row>
    <x:row r="3">
      <x:c r="A3" s="20" t="str">
        <x:v>真實資料</x:v>
      </x:c>
      <x:c r="B3" s="20" t="str">
        <x:v>樹籍編號、樹種、行政區、路段、公園、經緯度、胸徑、樹高、公園處最近調查日。</x:v>
      </x:c>
    </x:row>
    <x:row r="4">
      <x:c r="A4" s="20" t="str">
        <x:v>真實資料來源</x:v>
      </x:c>
      <x:c r="B4" s="20" t="str">
        <x:v>data.gov.tw/dataset/128274（TaipeiTree.csv、TaipeiParkTree.csv，2026-10-13 下載）；https://data.gov.tw/dataset/128274</x:v>
      </x:c>
    </x:row>
    <x:row r="5">
      <x:c r="A5" s="20" t="str">
        <x:v>模擬資料</x:v>
      </x:c>
      <x:c r="B5" s="20" t="str">
        <x:v>企業、認養起日、照片、盤點紀錄、狀態、投入金額、獎品兌換。</x:v>
      </x:c>
    </x:row>
    <x:row r="6">
      <x:c r="A6" s="20" t="str">
        <x:v>存活率算法</x:v>
      </x:c>
      <x:c r="B6" s="20" t="str">
        <x:v>狀態為「存活」的認養樹棵數 ÷ 認養棵數。摘要分頁以 Excel 公式計算。</x:v>
      </x:c>
    </x:row>
    <x:row r="7">
      <x:c r="A7" s="20" t="str">
        <x:v>照片審核規則</x:v>
      </x:c>
      <x:c r="B7" s="20" t="str">
        <x:v>照片位置在樹籍座標 15 公尺內列為通過；超過 15 公尺列為待人工審核。</x:v>
      </x:c>
    </x:row>
    <x:row r="8">
      <x:c r="A8" s="20" t="str">
        <x:v>有效照片</x:v>
      </x:c>
      <x:c r="B8" s="20" t="str">
        <x:v>審核結果為「通過」的模擬照片。</x:v>
      </x:c>
    </x:row>
    <x:row r="9">
      <x:c r="A9" s="20" t="str">
        <x:v>TWD97</x:v>
      </x:c>
      <x:c r="B9" s="20" t="str">
        <x:v>由真實經緯度轉換為 TWD97 / TM2 zone 121，單位為公尺。</x:v>
      </x:c>
    </x:row>
    <x:row r="10">
      <x:c r="A10" s="20" t="str">
        <x:v>狀態限制</x:v>
      </x:c>
      <x:c r="B10" s="20" t="str">
        <x:v>狀態是模擬盤點結果，不代表公園處判定。</x:v>
      </x:c>
    </x:row>
    <x:row r="11">
      <x:c r="A11" s="24" t="str">
        <x:v>揭露邊界</x:v>
      </x:c>
      <x:c r="B11" s="24" t="str">
        <x:v>自願保育行動，不能算減排，也不是碳權。</x:v>
      </x:c>
    </x:row>
    <x:row r="12">
      <x:c r="A12" s="20" t="str">
        <x:v>碳吸存</x:v>
      </x:c>
      <x:c r="B12" s="20" t="str">
        <x:v>本素材包不提供數字。</x:v>
      </x:c>
    </x:row>
    <x:row r="13">
      <x:c r="A13" s="20" t="str">
        <x:v>使用方式</x:v>
      </x:c>
      <x:c r="B13" s="20" t="str">
        <x:v>企業可依實際期間、金額與確信範圍更新黃底欄位。</x:v>
      </x:c>
    </x:row>
  </x:sheetData>
  <x:pageMargins left="0.7" right="0.7" top="0.75" bottom="0.75" header="0.3" footer="0.3"/>
</x:worksheet>
</file>